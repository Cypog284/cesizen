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0"/>
  <workbookPr/>
  <mc:AlternateContent xmlns:mc="http://schemas.openxmlformats.org/markup-compatibility/2006">
    <mc:Choice Requires="x15">
      <x15ac:absPath xmlns:x15ac="http://schemas.microsoft.com/office/spreadsheetml/2010/11/ac" url="\\dgdata\Direction des études$\Pédagogie_Ressources\Eval de blocs\CDA\Ressources_rentrée2024\Déployer et sécuriser les applications\"/>
    </mc:Choice>
  </mc:AlternateContent>
  <xr:revisionPtr revIDLastSave="10" documentId="11_B5F9617EE2743EC2CB31A4F8C2CC5ED39387F598" xr6:coauthVersionLast="47" xr6:coauthVersionMax="47" xr10:uidLastSave="{FA60B13B-3180-49FE-8308-54478AB4CFF9}"/>
  <bookViews>
    <workbookView xWindow="0" yWindow="0" windowWidth="23040" windowHeight="9072" xr2:uid="{00000000-000D-0000-FFFF-FFFF00000000}"/>
  </bookViews>
  <sheets>
    <sheet name="Grille à poi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1" l="1"/>
  <c r="H55" i="1" s="1"/>
  <c r="D55" i="1"/>
  <c r="H5" i="1" l="1"/>
  <c r="H13" i="1" l="1"/>
  <c r="H57" i="1" l="1"/>
  <c r="F57" i="1"/>
  <c r="D57" i="1"/>
  <c r="C57" i="1"/>
</calcChain>
</file>

<file path=xl/sharedStrings.xml><?xml version="1.0" encoding="utf-8"?>
<sst xmlns="http://schemas.openxmlformats.org/spreadsheetml/2006/main" count="50" uniqueCount="50">
  <si>
    <t>Référence bloc de compétences :</t>
  </si>
  <si>
    <t>INFCDAAL3</t>
  </si>
  <si>
    <t>Nom bloc de compétences :</t>
  </si>
  <si>
    <t>Déployer et sécuriser les applications informatiques</t>
  </si>
  <si>
    <t>Promotion :</t>
  </si>
  <si>
    <t>CDA 2023 - 2024</t>
  </si>
  <si>
    <t>Date :</t>
  </si>
  <si>
    <t>Nom-Prénom</t>
  </si>
  <si>
    <t>Note*</t>
  </si>
  <si>
    <t>*</t>
  </si>
  <si>
    <t>A : Acquis : les objectifs définis sont atteints</t>
  </si>
  <si>
    <t xml:space="preserve">B : Acquis : les objectifs définis sont partiellement atteints - écarts mineurs constatés </t>
  </si>
  <si>
    <t>C : Non acquis : les objectifs définis ne sont pas atteints - écarts majeurs constatés</t>
  </si>
  <si>
    <t>D : Non acquis : les objectifs définis ne sont pas atteints – écarts critiques constatés</t>
  </si>
  <si>
    <t xml:space="preserve">Signature </t>
  </si>
  <si>
    <t>Evaluateur 1</t>
  </si>
  <si>
    <t>Evaluateur 2</t>
  </si>
  <si>
    <t>Evaluateur 3</t>
  </si>
  <si>
    <t>Commentaires :</t>
  </si>
  <si>
    <t>NOTATION</t>
  </si>
  <si>
    <t>Thèmes</t>
  </si>
  <si>
    <t>Critères</t>
  </si>
  <si>
    <t>Points à attribuer</t>
  </si>
  <si>
    <t>Points obtenus</t>
  </si>
  <si>
    <t>Commentaires/Argumentations</t>
  </si>
  <si>
    <t>Déploiement</t>
  </si>
  <si>
    <r>
      <rPr>
        <sz val="10"/>
        <color rgb="FF000000"/>
        <rFont val="Calibri"/>
        <scheme val="minor"/>
      </rPr>
      <t xml:space="preserve">Mise en place des environnements de déploiement - </t>
    </r>
    <r>
      <rPr>
        <b/>
        <u/>
        <sz val="10"/>
        <color rgb="FF000000"/>
        <rFont val="Calibri"/>
        <scheme val="minor"/>
      </rPr>
      <t xml:space="preserve">(1 seul environnement de déploiement doit être configuré)
</t>
    </r>
    <r>
      <rPr>
        <i/>
        <sz val="9"/>
        <color rgb="FF000000"/>
        <rFont val="Calibri"/>
        <scheme val="minor"/>
      </rPr>
      <t>2 - 1 environnement de déploiement configuré avec des automatisations
1 - 1 environnement de déploiement configuré sans automatisation
0 - Environnement de déploiement non configuré ou incohérent</t>
    </r>
  </si>
  <si>
    <r>
      <t xml:space="preserve">Plan de déploiement - Structure et complétude
</t>
    </r>
    <r>
      <rPr>
        <i/>
        <sz val="9"/>
        <color theme="1"/>
        <rFont val="Calibri"/>
        <family val="2"/>
        <scheme val="minor"/>
      </rPr>
      <t>2 - Plan de déploiement structuré et complet (description de l'architecture, versioning, tests, intégration continue, pilotage)
1 - Plan de déploiement partiel ou mal structuré
0 - Aucun plan de déploiement</t>
    </r>
  </si>
  <si>
    <r>
      <rPr>
        <sz val="10"/>
        <color rgb="FF000000"/>
        <rFont val="Calibri"/>
        <scheme val="minor"/>
      </rPr>
      <t xml:space="preserve">Plan de déploiement - Précision étapes / étapes - Analyse des ressources
</t>
    </r>
    <r>
      <rPr>
        <i/>
        <sz val="9"/>
        <color rgb="FF000000"/>
        <rFont val="Calibri"/>
        <scheme val="minor"/>
      </rPr>
      <t>3 - Plan de déploiement précisant les étapes de déploiements par environnement, les automatisations et les ressources nécessaires
2 - Plan de déploiement avec certaines étapes ou certains environnement, manque de précision sur l'automatisation et les ressources
1 - Plan de déploiement simpliste sans précision sur l'automatisation et les ressources
0 - Aucune précision sur les étapes de déploiement</t>
    </r>
  </si>
  <si>
    <r>
      <t xml:space="preserve">Plan de déploiement - Cohérence avec le contexte et les contraintes du projet
</t>
    </r>
    <r>
      <rPr>
        <i/>
        <sz val="9"/>
        <color theme="1"/>
        <rFont val="Calibri"/>
        <family val="2"/>
        <scheme val="minor"/>
      </rPr>
      <t>1 - Plan de déploiement cohérent avec le projets et ses contraintes
0 - Plan de déploiement incohérent</t>
    </r>
  </si>
  <si>
    <r>
      <t xml:space="preserve">Propostion et configuration d'un outil de versioning
</t>
    </r>
    <r>
      <rPr>
        <i/>
        <sz val="9"/>
        <color theme="1"/>
        <rFont val="Calibri"/>
        <family val="2"/>
        <scheme val="minor"/>
      </rPr>
      <t>2 - Outil de versioning pertinent configuré et performant
1 - Outil de versioning configuré partiellement
0 - Aucun outil de versioning configuré</t>
    </r>
  </si>
  <si>
    <t>Maintenance</t>
  </si>
  <si>
    <r>
      <rPr>
        <sz val="10"/>
        <color rgb="FF000000"/>
        <rFont val="Calibri"/>
        <scheme val="minor"/>
      </rPr>
      <t xml:space="preserve">Outil de gestion des corrections et évolutions - Présence et configuration
</t>
    </r>
    <r>
      <rPr>
        <i/>
        <sz val="9"/>
        <color rgb="FF000000"/>
        <rFont val="Calibri"/>
        <scheme val="minor"/>
      </rPr>
      <t>3 - Outil de gestion des évolutions et ticketing présenté et configuré en phase avec le projet et ses acteurs
2 - Outil de gestion des évolutions et ticketing présenté mais configuré en standard
1 - Outil de gestion des évolutions et ticketing évoqué sans démonstration
0 - Aucun outil de gestion des évolutions et ticketing</t>
    </r>
  </si>
  <si>
    <r>
      <rPr>
        <sz val="10"/>
        <color rgb="FF000000"/>
        <rFont val="Calibri"/>
        <scheme val="minor"/>
      </rPr>
      <t xml:space="preserve">Outil de gestion des corrections et évolutions - Organisation et méthodologie - Capacité à corriger les anomalies
</t>
    </r>
    <r>
      <rPr>
        <i/>
        <sz val="9"/>
        <color rgb="FF000000"/>
        <rFont val="Calibri"/>
        <scheme val="minor"/>
      </rPr>
      <t>3 - Organisation et méthodologie décrite et présentée intégralement pour gérer les tickets entre le prestataire et le client
2 - Organisation et méthodologie décrite et présentée partiellement
1 - Organisation et méthodologie simpliste sans démonstration
0 - Aucune organisation ni méthodologie pour la gestion des anomalies</t>
    </r>
  </si>
  <si>
    <r>
      <rPr>
        <sz val="10"/>
        <color rgb="FF000000"/>
        <rFont val="Calibri"/>
        <scheme val="minor"/>
      </rPr>
      <t xml:space="preserve">Garanties d'évolutivité de la solution - Veille et méthodologie
</t>
    </r>
    <r>
      <rPr>
        <i/>
        <sz val="9"/>
        <color rgb="FF000000"/>
        <rFont val="Calibri"/>
        <scheme val="minor"/>
      </rPr>
      <t>3 - Veille technologique prise en compte, présentée, pertinente et efficace
2 - Veille technologique présentée partiellement
1 - Veille technologique simpliste
0 - Veille technologique non abordée</t>
    </r>
  </si>
  <si>
    <t>Sécurisation</t>
  </si>
  <si>
    <r>
      <rPr>
        <sz val="10"/>
        <color rgb="FF000000"/>
        <rFont val="Calibri"/>
        <scheme val="minor"/>
      </rPr>
      <t xml:space="preserve">Plan de sécurisation - Analyse des vulnérabilités et risques
</t>
    </r>
    <r>
      <rPr>
        <i/>
        <sz val="9"/>
        <color rgb="FF000000"/>
        <rFont val="Calibri"/>
        <scheme val="minor"/>
      </rPr>
      <t>3 - Analyse approfondie des vulnérabilités et risques avec calculs de criticités
2 - Analyse des vulnérabilités et risques avec criticités incomplet
1 - Analyse des vulnérabilités et risques simpliste
0 - Aucune analyse des vulnérabilités et risques</t>
    </r>
  </si>
  <si>
    <r>
      <rPr>
        <sz val="10"/>
        <color rgb="FF000000"/>
        <rFont val="Calibri"/>
        <scheme val="minor"/>
      </rPr>
      <t xml:space="preserve">Plan de sécurisation - Actions correctives et préventives
</t>
    </r>
    <r>
      <rPr>
        <i/>
        <sz val="9"/>
        <color rgb="FF000000"/>
        <rFont val="Calibri"/>
        <scheme val="minor"/>
      </rPr>
      <t>3 - Actions correctives et préventives exhaustives et pertinentes sur 75% des vulnérabilités et risques 
2 - Actions correctives et préventives pertinentes sur 50% des vulnérabilités et risques les plus critiques
1 - Actions correctives et préventives sur quelques risques ou vulnérabilités
0 - Aucune action corrective ou préventive</t>
    </r>
  </si>
  <si>
    <r>
      <rPr>
        <sz val="10"/>
        <color rgb="FF000000"/>
        <rFont val="Calibri"/>
        <scheme val="minor"/>
      </rPr>
      <t xml:space="preserve">Plan de sécurisation - Gestion de crise en cas d'attaques
</t>
    </r>
    <r>
      <rPr>
        <i/>
        <sz val="9"/>
        <color rgb="FF000000"/>
        <rFont val="Calibri"/>
        <scheme val="minor"/>
      </rPr>
      <t>2 - Méthodologie pertinente et complète pour la gestion de crises en cas d'attaques (escalade d'informations, responsabilités, etc.)
1 - Méthodologie simpliste de gestion de crises
0 - Aucune méthodologie de gestion de crises</t>
    </r>
  </si>
  <si>
    <r>
      <t xml:space="preserve">Plan de sécurisation - Gestion de crise en cas d'attaques
</t>
    </r>
    <r>
      <rPr>
        <i/>
        <sz val="9"/>
        <color theme="1"/>
        <rFont val="Calibri"/>
        <family val="2"/>
        <scheme val="minor"/>
      </rPr>
      <t>2 - Méthodologie pertinente et complète pour la gestion de crises en cas d'attaques (escalade d'informations, responsabilités, etc.)
1 - Méthodologie simpliste de gestion de crises
0 - Aucune méthodologie de gestion de crises</t>
    </r>
  </si>
  <si>
    <r>
      <rPr>
        <sz val="10"/>
        <color rgb="FF000000"/>
        <rFont val="Calibri"/>
        <scheme val="minor"/>
      </rPr>
      <t xml:space="preserve">Données personnelles, sensibles et RGPD
</t>
    </r>
    <r>
      <rPr>
        <i/>
        <sz val="9"/>
        <color rgb="FF000000"/>
        <rFont val="Calibri"/>
        <scheme val="minor"/>
      </rPr>
      <t>2 - Mise en œuvre de méthodes et outils de gestion des données personnelles et du respect des RGPD - Pertinent et complet
1 - Mise en œuvre simpliste de méthodes et outils de gestion des données personnelles et du respect des RGPD (partiel)
0 - Aucune mise en oeuvre de méthodes ou outils de gestion des données personnelles et du respect des RGPD</t>
    </r>
  </si>
  <si>
    <r>
      <rPr>
        <sz val="10"/>
        <color rgb="FF000000"/>
        <rFont val="Calibri"/>
        <scheme val="minor"/>
      </rPr>
      <t xml:space="preserve">Mise en œuvre de bonnes pratiques de développement
</t>
    </r>
    <r>
      <rPr>
        <i/>
        <sz val="9"/>
        <color rgb="FF000000"/>
        <rFont val="Calibri"/>
        <scheme val="minor"/>
      </rPr>
      <t>1 - Mise en œuvre et présentation de bonnes pratiques de développement (structure du code, documentation, etc.)
0 - Aucune bonne pratique de développement</t>
    </r>
  </si>
  <si>
    <t>Dossier et soutenance</t>
  </si>
  <si>
    <r>
      <t>Qualité du dossier écrit</t>
    </r>
    <r>
      <rPr>
        <i/>
        <sz val="9"/>
        <color theme="1"/>
        <rFont val="Calibri"/>
        <family val="2"/>
        <scheme val="minor"/>
      </rPr>
      <t xml:space="preserve">
1 - Dossier complet et de qualité professionnelle
0 - Dossier non rendu ou de qualité insatisfaisante</t>
    </r>
  </si>
  <si>
    <r>
      <t xml:space="preserve">Support de soutenance
</t>
    </r>
    <r>
      <rPr>
        <i/>
        <sz val="9"/>
        <color theme="1"/>
        <rFont val="Calibri"/>
        <family val="2"/>
        <scheme val="minor"/>
      </rPr>
      <t>1 - Support  visuel, équilibré et pertinent
0 - Support  illisible, trop imparfait</t>
    </r>
  </si>
  <si>
    <r>
      <t xml:space="preserve">La démonstration des outils de versioning et ticketing est efficace
</t>
    </r>
    <r>
      <rPr>
        <i/>
        <sz val="9"/>
        <color theme="1"/>
        <rFont val="Calibri"/>
        <family val="2"/>
        <scheme val="minor"/>
      </rPr>
      <t>1 - La démonstration est efficace et fluide
0 - La démonstration n'est pas faite ou mal amenée</t>
    </r>
  </si>
  <si>
    <r>
      <t xml:space="preserve">Prise de parole
</t>
    </r>
    <r>
      <rPr>
        <i/>
        <sz val="9"/>
        <color theme="1"/>
        <rFont val="Calibri"/>
        <family val="2"/>
        <scheme val="minor"/>
      </rPr>
      <t>1 - Exercice oral maîtrisé, posture et voix bien placées
0 - Exercice oral désagréable et pas clair</t>
    </r>
  </si>
  <si>
    <t>Total :</t>
  </si>
  <si>
    <t>Note (lettre) :</t>
  </si>
  <si>
    <t>Conversion lettre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</si>
</sst>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/>
      <name val="Calibri"/>
      <family val="2"/>
    </font>
    <font>
      <sz val="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u/>
      <sz val="10"/>
      <color rgb="FF000000"/>
      <name val="Calibri"/>
      <scheme val="minor"/>
    </font>
    <font>
      <i/>
      <sz val="9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9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horizontal="right"/>
    </xf>
    <xf numFmtId="0" fontId="5" fillId="0" borderId="0" xfId="0" applyFont="1"/>
    <xf numFmtId="0" fontId="7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8" fillId="0" borderId="10" xfId="0" applyFont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3" fillId="0" borderId="32" xfId="0" applyFont="1" applyBorder="1" applyAlignment="1">
      <alignment horizontal="center" vertical="center" wrapText="1"/>
    </xf>
    <xf numFmtId="0" fontId="2" fillId="0" borderId="35" xfId="0" applyFont="1" applyBorder="1" applyAlignment="1">
      <alignment vertical="top"/>
    </xf>
    <xf numFmtId="0" fontId="2" fillId="0" borderId="36" xfId="0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0" fillId="0" borderId="7" xfId="0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2" fillId="0" borderId="0" xfId="0" quotePrefix="1" applyFont="1" applyAlignment="1">
      <alignment horizontal="right" vertical="center"/>
    </xf>
    <xf numFmtId="0" fontId="0" fillId="0" borderId="3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4" fillId="0" borderId="0" xfId="0" applyFont="1" applyAlignment="1">
      <alignment wrapText="1"/>
    </xf>
    <xf numFmtId="0" fontId="12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38" xfId="0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1" fillId="0" borderId="0" xfId="0" applyFont="1" applyAlignment="1">
      <alignment horizontal="right" vertical="center" wrapText="1"/>
    </xf>
    <xf numFmtId="0" fontId="11" fillId="0" borderId="38" xfId="0" applyFont="1" applyBorder="1" applyAlignment="1">
      <alignment horizontal="right" vertical="center" wrapText="1"/>
    </xf>
    <xf numFmtId="0" fontId="11" fillId="4" borderId="12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 wrapText="1"/>
    </xf>
    <xf numFmtId="0" fontId="11" fillId="4" borderId="31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vertical="center" wrapText="1"/>
    </xf>
    <xf numFmtId="0" fontId="4" fillId="0" borderId="23" xfId="0" applyFont="1" applyBorder="1" applyAlignment="1">
      <alignment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42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17" fillId="0" borderId="18" xfId="0" applyFont="1" applyBorder="1" applyAlignment="1">
      <alignment vertical="center" wrapText="1"/>
    </xf>
    <xf numFmtId="0" fontId="15" fillId="0" borderId="45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17" fillId="0" borderId="25" xfId="0" applyFont="1" applyBorder="1" applyAlignment="1">
      <alignment vertical="center" wrapText="1"/>
    </xf>
    <xf numFmtId="0" fontId="4" fillId="0" borderId="26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38" xfId="0" applyFont="1" applyBorder="1" applyAlignment="1">
      <alignment horizontal="center" vertical="top"/>
    </xf>
    <xf numFmtId="0" fontId="2" fillId="0" borderId="39" xfId="0" applyFont="1" applyBorder="1" applyAlignment="1">
      <alignment horizontal="center" vertical="top"/>
    </xf>
    <xf numFmtId="0" fontId="2" fillId="0" borderId="40" xfId="0" applyFont="1" applyBorder="1" applyAlignment="1">
      <alignment horizontal="center" vertical="top"/>
    </xf>
    <xf numFmtId="0" fontId="2" fillId="0" borderId="41" xfId="0" applyFont="1" applyBorder="1" applyAlignment="1">
      <alignment horizontal="center" vertical="top"/>
    </xf>
    <xf numFmtId="0" fontId="2" fillId="4" borderId="12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76"/>
  <sheetViews>
    <sheetView showGridLines="0" tabSelected="1" topLeftCell="A35" zoomScaleNormal="100" zoomScalePageLayoutView="130" workbookViewId="0">
      <selection activeCell="E39" sqref="E39"/>
    </sheetView>
  </sheetViews>
  <sheetFormatPr defaultColWidth="11.42578125" defaultRowHeight="14.45"/>
  <cols>
    <col min="1" max="1" width="24.42578125" customWidth="1"/>
    <col min="2" max="2" width="11.42578125" customWidth="1"/>
    <col min="3" max="3" width="84" customWidth="1"/>
    <col min="4" max="5" width="8.7109375" customWidth="1"/>
    <col min="6" max="6" width="9.5703125" customWidth="1"/>
    <col min="7" max="7" width="8.7109375" customWidth="1"/>
    <col min="8" max="8" width="16.7109375" customWidth="1"/>
  </cols>
  <sheetData>
    <row r="3" spans="1:8" ht="15" thickBot="1"/>
    <row r="4" spans="1:8" s="20" customFormat="1" ht="24" customHeight="1" thickBot="1">
      <c r="A4" s="47" t="s">
        <v>0</v>
      </c>
      <c r="B4" s="48"/>
      <c r="C4" s="49" t="s">
        <v>1</v>
      </c>
      <c r="D4" s="50"/>
      <c r="E4" s="50"/>
      <c r="F4" s="50"/>
      <c r="G4" s="51"/>
      <c r="H4" s="35"/>
    </row>
    <row r="5" spans="1:8" ht="28.15" customHeight="1" thickBot="1">
      <c r="A5" s="20"/>
      <c r="B5" s="21"/>
      <c r="C5" s="46"/>
      <c r="D5" s="46"/>
      <c r="E5" s="46"/>
      <c r="F5" s="46"/>
      <c r="G5" s="46"/>
      <c r="H5" s="34" t="e">
        <f>RIGHT(#REF!,(LEN(#REF!)-SEARCH("-",#REF!)-1))</f>
        <v>#REF!</v>
      </c>
    </row>
    <row r="6" spans="1:8" ht="36.6" customHeight="1" thickBot="1">
      <c r="A6" s="47" t="s">
        <v>2</v>
      </c>
      <c r="B6" s="48"/>
      <c r="C6" s="52" t="s">
        <v>3</v>
      </c>
      <c r="D6" s="53"/>
      <c r="E6" s="53"/>
      <c r="F6" s="53"/>
      <c r="G6" s="54"/>
    </row>
    <row r="7" spans="1:8" ht="15" thickBot="1"/>
    <row r="8" spans="1:8" ht="24" customHeight="1" thickBot="1">
      <c r="A8" s="29" t="s">
        <v>4</v>
      </c>
      <c r="B8" s="64" t="s">
        <v>5</v>
      </c>
      <c r="C8" s="65"/>
      <c r="E8" s="28" t="s">
        <v>6</v>
      </c>
      <c r="F8" s="64"/>
      <c r="G8" s="65"/>
    </row>
    <row r="10" spans="1:8" ht="12.6" customHeight="1"/>
    <row r="11" spans="1:8" ht="8.4499999999999993" customHeight="1" thickBot="1"/>
    <row r="12" spans="1:8" ht="24" customHeight="1" thickBot="1">
      <c r="A12" s="3"/>
      <c r="B12" s="66" t="s">
        <v>7</v>
      </c>
      <c r="C12" s="67"/>
      <c r="D12" s="68"/>
      <c r="H12" s="23" t="s">
        <v>8</v>
      </c>
    </row>
    <row r="13" spans="1:8" s="3" customFormat="1" ht="39.6" customHeight="1" thickBot="1">
      <c r="A13" s="12"/>
      <c r="B13" s="76"/>
      <c r="C13" s="77"/>
      <c r="D13" s="78"/>
      <c r="E13"/>
      <c r="F13"/>
      <c r="G13" s="22"/>
      <c r="H13" s="32" t="str">
        <f>H55</f>
        <v/>
      </c>
    </row>
    <row r="14" spans="1:8" s="3" customFormat="1" ht="19.149999999999999" customHeight="1">
      <c r="A14" s="12"/>
      <c r="B14" s="13"/>
      <c r="C14" s="13"/>
      <c r="D14" s="13"/>
      <c r="E14"/>
      <c r="F14"/>
      <c r="G14" s="22"/>
      <c r="H14" s="14"/>
    </row>
    <row r="15" spans="1:8" s="3" customFormat="1" ht="15" customHeight="1">
      <c r="A15" s="31" t="s">
        <v>9</v>
      </c>
      <c r="B15" s="30" t="s">
        <v>10</v>
      </c>
      <c r="D15" s="13"/>
      <c r="E15" s="14"/>
      <c r="F15" s="14"/>
      <c r="G15" s="22"/>
      <c r="H15" s="14"/>
    </row>
    <row r="16" spans="1:8" s="3" customFormat="1" ht="15" customHeight="1">
      <c r="A16" s="12"/>
      <c r="B16" s="30" t="s">
        <v>11</v>
      </c>
      <c r="D16" s="13"/>
      <c r="E16" s="14"/>
      <c r="F16" s="14"/>
      <c r="G16" s="22"/>
      <c r="H16" s="14"/>
    </row>
    <row r="17" spans="1:8" s="3" customFormat="1" ht="15" customHeight="1">
      <c r="A17" s="12"/>
      <c r="B17" s="30" t="s">
        <v>12</v>
      </c>
      <c r="D17" s="13"/>
      <c r="E17" s="14"/>
      <c r="F17" s="14"/>
      <c r="G17" s="22"/>
      <c r="H17" s="14"/>
    </row>
    <row r="18" spans="1:8" s="3" customFormat="1" ht="15" customHeight="1">
      <c r="A18" s="12"/>
      <c r="B18" s="30" t="s">
        <v>13</v>
      </c>
      <c r="D18" s="13"/>
      <c r="E18" s="14"/>
      <c r="F18" s="14"/>
      <c r="G18" s="22"/>
      <c r="H18" s="14"/>
    </row>
    <row r="19" spans="1:8" s="3" customFormat="1" ht="19.149999999999999" customHeight="1" thickBot="1">
      <c r="A19" s="12"/>
      <c r="B19" s="13"/>
      <c r="C19" s="13"/>
      <c r="D19" s="13"/>
      <c r="E19" s="14"/>
      <c r="F19" s="14"/>
      <c r="G19" s="22"/>
      <c r="H19" s="14"/>
    </row>
    <row r="20" spans="1:8" ht="15" thickBot="1">
      <c r="A20" s="2"/>
      <c r="B20" s="2"/>
      <c r="E20" s="79" t="s">
        <v>14</v>
      </c>
      <c r="F20" s="80"/>
      <c r="G20" s="81"/>
    </row>
    <row r="21" spans="1:8" ht="37.15" customHeight="1">
      <c r="A21" s="4" t="s">
        <v>15</v>
      </c>
      <c r="B21" s="83"/>
      <c r="C21" s="83"/>
      <c r="D21" s="90"/>
      <c r="E21" s="82"/>
      <c r="F21" s="83"/>
      <c r="G21" s="84"/>
      <c r="H21" s="12"/>
    </row>
    <row r="22" spans="1:8" ht="37.15" customHeight="1">
      <c r="A22" s="5" t="s">
        <v>16</v>
      </c>
      <c r="B22" s="86"/>
      <c r="C22" s="86"/>
      <c r="D22" s="91"/>
      <c r="E22" s="85"/>
      <c r="F22" s="86"/>
      <c r="G22" s="87"/>
      <c r="H22" s="12"/>
    </row>
    <row r="23" spans="1:8" ht="37.15" customHeight="1" thickBot="1">
      <c r="A23" s="6" t="s">
        <v>17</v>
      </c>
      <c r="B23" s="77"/>
      <c r="C23" s="77"/>
      <c r="D23" s="92"/>
      <c r="E23" s="76"/>
      <c r="F23" s="77"/>
      <c r="G23" s="78"/>
      <c r="H23" s="12"/>
    </row>
    <row r="24" spans="1:8" ht="21" customHeight="1" thickBot="1">
      <c r="A24" s="12"/>
      <c r="B24" s="13"/>
      <c r="C24" s="13"/>
      <c r="D24" s="13"/>
      <c r="E24" s="12"/>
      <c r="F24" s="12"/>
      <c r="G24" s="12"/>
      <c r="H24" s="12"/>
    </row>
    <row r="25" spans="1:8" ht="21" customHeight="1">
      <c r="A25" s="24" t="s">
        <v>18</v>
      </c>
      <c r="B25" s="25"/>
      <c r="C25" s="25"/>
      <c r="D25" s="25"/>
      <c r="E25" s="25"/>
      <c r="F25" s="25"/>
      <c r="G25" s="25"/>
      <c r="H25" s="26"/>
    </row>
    <row r="26" spans="1:8" ht="16.899999999999999" customHeight="1">
      <c r="A26" s="94"/>
      <c r="B26" s="95"/>
      <c r="C26" s="95"/>
      <c r="D26" s="95"/>
      <c r="E26" s="95"/>
      <c r="F26" s="95"/>
      <c r="G26" s="95"/>
      <c r="H26" s="96"/>
    </row>
    <row r="27" spans="1:8" ht="16.899999999999999" customHeight="1">
      <c r="A27" s="94"/>
      <c r="B27" s="95"/>
      <c r="C27" s="95"/>
      <c r="D27" s="95"/>
      <c r="E27" s="95"/>
      <c r="F27" s="95"/>
      <c r="G27" s="95"/>
      <c r="H27" s="96"/>
    </row>
    <row r="28" spans="1:8" ht="16.899999999999999" customHeight="1">
      <c r="A28" s="94"/>
      <c r="B28" s="95"/>
      <c r="C28" s="95"/>
      <c r="D28" s="95"/>
      <c r="E28" s="95"/>
      <c r="F28" s="95"/>
      <c r="G28" s="95"/>
      <c r="H28" s="96"/>
    </row>
    <row r="29" spans="1:8" ht="16.899999999999999" customHeight="1">
      <c r="A29" s="94"/>
      <c r="B29" s="95"/>
      <c r="C29" s="95"/>
      <c r="D29" s="95"/>
      <c r="E29" s="95"/>
      <c r="F29" s="95"/>
      <c r="G29" s="95"/>
      <c r="H29" s="96"/>
    </row>
    <row r="30" spans="1:8" ht="16.899999999999999" customHeight="1">
      <c r="A30" s="94"/>
      <c r="B30" s="95"/>
      <c r="C30" s="95"/>
      <c r="D30" s="95"/>
      <c r="E30" s="95"/>
      <c r="F30" s="95"/>
      <c r="G30" s="95"/>
      <c r="H30" s="96"/>
    </row>
    <row r="31" spans="1:8" ht="16.899999999999999" customHeight="1" thickBot="1">
      <c r="A31" s="97"/>
      <c r="B31" s="98"/>
      <c r="C31" s="98"/>
      <c r="D31" s="98"/>
      <c r="E31" s="98"/>
      <c r="F31" s="98"/>
      <c r="G31" s="98"/>
      <c r="H31" s="99"/>
    </row>
    <row r="32" spans="1:8" ht="16.899999999999999" customHeight="1">
      <c r="A32" s="38"/>
      <c r="B32" s="38"/>
      <c r="C32" s="38"/>
      <c r="D32" s="38"/>
      <c r="E32" s="38"/>
      <c r="F32" s="38"/>
      <c r="G32" s="38"/>
      <c r="H32" s="38"/>
    </row>
    <row r="33" spans="1:11" s="3" customFormat="1" ht="12.6" customHeight="1" thickBot="1">
      <c r="A33" s="12"/>
      <c r="B33" s="13"/>
      <c r="C33" s="13"/>
      <c r="D33" s="13"/>
      <c r="E33" s="14"/>
      <c r="F33" s="14"/>
      <c r="G33" s="14"/>
    </row>
    <row r="34" spans="1:11" ht="15" thickBot="1">
      <c r="A34" s="100" t="s">
        <v>19</v>
      </c>
      <c r="B34" s="101"/>
      <c r="C34" s="101"/>
      <c r="D34" s="101"/>
      <c r="E34" s="101"/>
      <c r="F34" s="101"/>
      <c r="G34" s="101"/>
      <c r="H34" s="102"/>
    </row>
    <row r="35" spans="1:11" ht="15" thickBot="1"/>
    <row r="36" spans="1:11" ht="21" thickBot="1">
      <c r="A36" s="1" t="s">
        <v>20</v>
      </c>
      <c r="B36" s="93" t="s">
        <v>21</v>
      </c>
      <c r="C36" s="74"/>
      <c r="D36" s="19" t="s">
        <v>22</v>
      </c>
      <c r="E36" s="19" t="s">
        <v>23</v>
      </c>
      <c r="F36" s="69" t="s">
        <v>24</v>
      </c>
      <c r="G36" s="69"/>
      <c r="H36" s="103"/>
    </row>
    <row r="37" spans="1:11" ht="55.9" customHeight="1">
      <c r="A37" s="57" t="s">
        <v>25</v>
      </c>
      <c r="B37" s="88" t="s">
        <v>26</v>
      </c>
      <c r="C37" s="89"/>
      <c r="D37" s="27">
        <v>2</v>
      </c>
      <c r="E37" s="27"/>
      <c r="F37" s="104"/>
      <c r="G37" s="104"/>
      <c r="H37" s="105"/>
    </row>
    <row r="38" spans="1:11" ht="58.9" customHeight="1">
      <c r="A38" s="58"/>
      <c r="B38" s="55" t="s">
        <v>27</v>
      </c>
      <c r="C38" s="56"/>
      <c r="D38" s="11">
        <v>2</v>
      </c>
      <c r="E38" s="11"/>
      <c r="F38" s="70"/>
      <c r="G38" s="71"/>
      <c r="H38" s="72"/>
    </row>
    <row r="39" spans="1:11" ht="72" customHeight="1">
      <c r="A39" s="58"/>
      <c r="B39" s="60" t="s">
        <v>28</v>
      </c>
      <c r="C39" s="56"/>
      <c r="D39" s="11">
        <v>3</v>
      </c>
      <c r="E39" s="11"/>
      <c r="F39" s="70"/>
      <c r="G39" s="71"/>
      <c r="H39" s="72"/>
    </row>
    <row r="40" spans="1:11" ht="44.45" customHeight="1">
      <c r="A40" s="58"/>
      <c r="B40" s="55" t="s">
        <v>29</v>
      </c>
      <c r="C40" s="56"/>
      <c r="D40" s="11">
        <v>1</v>
      </c>
      <c r="E40" s="11"/>
      <c r="F40" s="43"/>
      <c r="G40" s="44"/>
      <c r="H40" s="45"/>
    </row>
    <row r="41" spans="1:11" ht="58.9" customHeight="1">
      <c r="A41" s="59"/>
      <c r="B41" s="55" t="s">
        <v>30</v>
      </c>
      <c r="C41" s="56"/>
      <c r="D41" s="11">
        <v>2</v>
      </c>
      <c r="E41" s="11"/>
      <c r="F41" s="70"/>
      <c r="G41" s="71"/>
      <c r="H41" s="72"/>
    </row>
    <row r="42" spans="1:11" ht="69" customHeight="1">
      <c r="A42" s="75" t="s">
        <v>31</v>
      </c>
      <c r="B42" s="60" t="s">
        <v>32</v>
      </c>
      <c r="C42" s="56"/>
      <c r="D42" s="11">
        <v>3</v>
      </c>
      <c r="E42" s="11"/>
      <c r="F42" s="70"/>
      <c r="G42" s="71"/>
      <c r="H42" s="72"/>
    </row>
    <row r="43" spans="1:11" ht="69" customHeight="1">
      <c r="A43" s="58"/>
      <c r="B43" s="60" t="s">
        <v>33</v>
      </c>
      <c r="C43" s="56"/>
      <c r="D43" s="11">
        <v>3</v>
      </c>
      <c r="E43" s="11"/>
      <c r="F43" s="43"/>
      <c r="G43" s="44"/>
      <c r="H43" s="45"/>
    </row>
    <row r="44" spans="1:11" ht="69" customHeight="1">
      <c r="A44" s="58"/>
      <c r="B44" s="60" t="s">
        <v>34</v>
      </c>
      <c r="C44" s="56"/>
      <c r="D44" s="11">
        <v>3</v>
      </c>
      <c r="E44" s="11"/>
      <c r="F44" s="43"/>
      <c r="G44" s="44"/>
      <c r="H44" s="45"/>
    </row>
    <row r="45" spans="1:11" ht="69" customHeight="1">
      <c r="A45" s="61" t="s">
        <v>35</v>
      </c>
      <c r="B45" s="60" t="s">
        <v>36</v>
      </c>
      <c r="C45" s="56"/>
      <c r="D45" s="11">
        <v>3</v>
      </c>
      <c r="E45" s="11"/>
      <c r="F45" s="70"/>
      <c r="G45" s="71"/>
      <c r="H45" s="72"/>
    </row>
    <row r="46" spans="1:11" ht="69" customHeight="1">
      <c r="A46" s="62"/>
      <c r="B46" s="60" t="s">
        <v>37</v>
      </c>
      <c r="C46" s="56"/>
      <c r="D46" s="11">
        <v>3</v>
      </c>
      <c r="E46" s="11"/>
      <c r="F46" s="43"/>
      <c r="G46" s="44"/>
      <c r="H46" s="45"/>
    </row>
    <row r="47" spans="1:11" ht="58.9" customHeight="1">
      <c r="A47" s="62"/>
      <c r="B47" s="60" t="s">
        <v>38</v>
      </c>
      <c r="C47" s="56"/>
      <c r="D47" s="11">
        <v>2</v>
      </c>
      <c r="E47" s="11"/>
      <c r="F47" s="43"/>
      <c r="G47" s="44"/>
      <c r="H47" s="45"/>
      <c r="J47" s="55" t="s">
        <v>39</v>
      </c>
      <c r="K47" s="56"/>
    </row>
    <row r="48" spans="1:11" ht="58.9" customHeight="1">
      <c r="A48" s="62"/>
      <c r="B48" s="60" t="s">
        <v>40</v>
      </c>
      <c r="C48" s="56"/>
      <c r="D48" s="11">
        <v>2</v>
      </c>
      <c r="E48" s="11"/>
      <c r="F48" s="43"/>
      <c r="G48" s="44"/>
      <c r="H48" s="45"/>
    </row>
    <row r="49" spans="1:8" ht="44.45" customHeight="1">
      <c r="A49" s="63"/>
      <c r="B49" s="60" t="s">
        <v>41</v>
      </c>
      <c r="C49" s="56"/>
      <c r="D49" s="11">
        <v>1</v>
      </c>
      <c r="E49" s="11"/>
      <c r="F49" s="43"/>
      <c r="G49" s="44"/>
      <c r="H49" s="45"/>
    </row>
    <row r="50" spans="1:8" ht="44.45" customHeight="1">
      <c r="A50" s="61" t="s">
        <v>42</v>
      </c>
      <c r="B50" s="55" t="s">
        <v>43</v>
      </c>
      <c r="C50" s="56"/>
      <c r="D50" s="11">
        <v>1</v>
      </c>
      <c r="E50" s="11"/>
      <c r="F50" s="70"/>
      <c r="G50" s="71"/>
      <c r="H50" s="72"/>
    </row>
    <row r="51" spans="1:8" ht="44.45" customHeight="1">
      <c r="A51" s="62"/>
      <c r="B51" s="55" t="s">
        <v>44</v>
      </c>
      <c r="C51" s="56"/>
      <c r="D51" s="11">
        <v>1</v>
      </c>
      <c r="E51" s="11"/>
      <c r="F51" s="43"/>
      <c r="G51" s="44"/>
      <c r="H51" s="45"/>
    </row>
    <row r="52" spans="1:8" ht="44.45" customHeight="1">
      <c r="A52" s="62"/>
      <c r="B52" s="55" t="s">
        <v>45</v>
      </c>
      <c r="C52" s="56"/>
      <c r="D52" s="11">
        <v>1</v>
      </c>
      <c r="E52" s="11"/>
      <c r="F52" s="43"/>
      <c r="G52" s="44"/>
      <c r="H52" s="45"/>
    </row>
    <row r="53" spans="1:8" ht="44.45" customHeight="1">
      <c r="A53" s="63"/>
      <c r="B53" s="55" t="s">
        <v>46</v>
      </c>
      <c r="C53" s="56"/>
      <c r="D53" s="11">
        <v>1</v>
      </c>
      <c r="E53" s="11"/>
      <c r="F53" s="43"/>
      <c r="G53" s="44"/>
      <c r="H53" s="45"/>
    </row>
    <row r="54" spans="1:8" ht="15" thickBot="1">
      <c r="A54" s="36"/>
      <c r="B54" s="42"/>
      <c r="C54" s="42"/>
      <c r="D54" s="14"/>
      <c r="E54" s="14"/>
      <c r="F54" s="41"/>
      <c r="G54" s="41"/>
      <c r="H54" s="37"/>
    </row>
    <row r="55" spans="1:8" ht="15" thickBot="1">
      <c r="C55" s="7" t="s">
        <v>47</v>
      </c>
      <c r="D55" s="10">
        <f>SUM(D37:D53)</f>
        <v>34</v>
      </c>
      <c r="E55" s="9" t="str">
        <f>IF(COUNTA(E37:E53)=0,"",SUM(E37:E53))</f>
        <v/>
      </c>
      <c r="F55" s="8"/>
      <c r="G55" s="18" t="s">
        <v>48</v>
      </c>
      <c r="H55" s="33" t="str">
        <f>IF(E55="","",IF(E55&gt;=MROUND(26.99*D55/34,1),"A",IF(E55&gt;=MROUND(20*D55/34,1),"B",IF(E55&gt;=MROUND(14*D55/34,1),"C","D"))))</f>
        <v/>
      </c>
    </row>
    <row r="56" spans="1:8" ht="15" thickBot="1"/>
    <row r="57" spans="1:8" ht="29.45" thickBot="1">
      <c r="A57" s="73" t="s">
        <v>49</v>
      </c>
      <c r="B57" s="74"/>
      <c r="C57" s="39" t="str">
        <f>"De "&amp;MROUND(15.99*D55/20,1)&amp;" à "&amp; D55 &amp;""&amp; CHAR(10) &amp; " =  A"</f>
        <v>De 27 à 34
 =  A</v>
      </c>
      <c r="D57" s="69" t="str">
        <f>"De "&amp;MROUND(12*D55/20,1)&amp;" à "&amp; MROUND(15.99*D55/20,1)-0.01 &amp;""&amp;CHAR(10)&amp; " =  B"</f>
        <v>De 20 à 26,99
 =  B</v>
      </c>
      <c r="E57" s="69"/>
      <c r="F57" s="69" t="str">
        <f>"De "&amp;MROUND(8*D55/20,1)&amp;" à "&amp; MROUND(12*D55/20,1)-0.01 &amp;""&amp;CHAR(10)&amp; " =  C"</f>
        <v>De 14 à 19,99
 =  C</v>
      </c>
      <c r="G57" s="69"/>
      <c r="H57" s="40" t="str">
        <f>"De "&amp;0&amp;" à "&amp; MROUND(8*D55/20,1)-0.01 &amp;""&amp;CHAR(10)&amp; " =  D"</f>
        <v>De 0 à 13,99
 =  D</v>
      </c>
    </row>
    <row r="74" spans="3:7">
      <c r="C74" s="7"/>
      <c r="D74" s="17"/>
      <c r="E74" s="16"/>
      <c r="F74" s="8"/>
      <c r="G74" s="15"/>
    </row>
    <row r="75" spans="3:7">
      <c r="C75" s="7"/>
      <c r="D75" s="17"/>
      <c r="E75" s="16"/>
      <c r="F75" s="8"/>
      <c r="G75" s="15"/>
    </row>
    <row r="76" spans="3:7">
      <c r="C76" s="7"/>
      <c r="D76" s="17"/>
      <c r="E76" s="16"/>
      <c r="F76" s="8"/>
      <c r="G76" s="15"/>
    </row>
  </sheetData>
  <mergeCells count="51">
    <mergeCell ref="B8:C8"/>
    <mergeCell ref="B38:C38"/>
    <mergeCell ref="B39:C39"/>
    <mergeCell ref="B41:C41"/>
    <mergeCell ref="B37:C37"/>
    <mergeCell ref="B40:C40"/>
    <mergeCell ref="B21:D21"/>
    <mergeCell ref="B22:D22"/>
    <mergeCell ref="B23:D23"/>
    <mergeCell ref="B36:C36"/>
    <mergeCell ref="A26:H31"/>
    <mergeCell ref="A34:H34"/>
    <mergeCell ref="F36:H36"/>
    <mergeCell ref="F37:H37"/>
    <mergeCell ref="A42:A44"/>
    <mergeCell ref="B13:D13"/>
    <mergeCell ref="E20:G20"/>
    <mergeCell ref="E21:G21"/>
    <mergeCell ref="E22:G22"/>
    <mergeCell ref="E23:G23"/>
    <mergeCell ref="A50:A53"/>
    <mergeCell ref="B49:C49"/>
    <mergeCell ref="B52:C52"/>
    <mergeCell ref="B50:C50"/>
    <mergeCell ref="D57:E57"/>
    <mergeCell ref="A57:B57"/>
    <mergeCell ref="B51:C51"/>
    <mergeCell ref="B53:C53"/>
    <mergeCell ref="F57:G57"/>
    <mergeCell ref="F50:H50"/>
    <mergeCell ref="F38:H38"/>
    <mergeCell ref="F39:H39"/>
    <mergeCell ref="F45:H45"/>
    <mergeCell ref="F41:H41"/>
    <mergeCell ref="F42:H42"/>
    <mergeCell ref="A4:B4"/>
    <mergeCell ref="C4:G4"/>
    <mergeCell ref="A6:B6"/>
    <mergeCell ref="C6:G6"/>
    <mergeCell ref="J47:K47"/>
    <mergeCell ref="A37:A41"/>
    <mergeCell ref="B42:C42"/>
    <mergeCell ref="B43:C43"/>
    <mergeCell ref="B44:C44"/>
    <mergeCell ref="A45:A49"/>
    <mergeCell ref="B45:C45"/>
    <mergeCell ref="B48:C48"/>
    <mergeCell ref="B46:C46"/>
    <mergeCell ref="B47:C47"/>
    <mergeCell ref="F8:G8"/>
    <mergeCell ref="B12:D12"/>
  </mergeCells>
  <pageMargins left="0.39370078740157483" right="0.39370078740157483" top="0.74803149606299213" bottom="0.74803149606299213" header="0.31496062992125984" footer="0.31496062992125984"/>
  <pageSetup paperSize="9" orientation="portrait" r:id="rId1"/>
  <headerFooter>
    <oddHeader>&amp;L&amp;G&amp;R&amp;"-,Gras"&amp;14
Grille d'évaluation
&amp;12Bloc de compétences</oddHeader>
    <oddFooter>&amp;L&amp;F&amp;R&amp;P/&amp;N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3a75f3-1df5-4002-822c-4e732f6132ec">
      <Terms xmlns="http://schemas.microsoft.com/office/infopath/2007/PartnerControls"/>
    </lcf76f155ced4ddcb4097134ff3c332f>
    <TaxCatchAll xmlns="c4bf1469-4372-4ebe-b254-c11948a49c5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E1E5A6C88CE04591546C680D797686" ma:contentTypeVersion="10" ma:contentTypeDescription="Crée un document." ma:contentTypeScope="" ma:versionID="4bd4a0ee0f9057fc686c3b608277d20e">
  <xsd:schema xmlns:xsd="http://www.w3.org/2001/XMLSchema" xmlns:xs="http://www.w3.org/2001/XMLSchema" xmlns:p="http://schemas.microsoft.com/office/2006/metadata/properties" xmlns:ns2="ac3a75f3-1df5-4002-822c-4e732f6132ec" xmlns:ns3="c4bf1469-4372-4ebe-b254-c11948a49c55" targetNamespace="http://schemas.microsoft.com/office/2006/metadata/properties" ma:root="true" ma:fieldsID="d3b527cf3159d11b95c7bab80783c4f8" ns2:_="" ns3:_="">
    <xsd:import namespace="ac3a75f3-1df5-4002-822c-4e732f6132ec"/>
    <xsd:import namespace="c4bf1469-4372-4ebe-b254-c11948a49c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3a75f3-1df5-4002-822c-4e732f6132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aa141cfe-7933-482d-bbb8-97c86f16e5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f1469-4372-4ebe-b254-c11948a49c5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c7e0ab-9ede-4595-a07a-6ee6ee7e95f5}" ma:internalName="TaxCatchAll" ma:showField="CatchAllData" ma:web="c4bf1469-4372-4ebe-b254-c11948a49c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87EB68-DA5B-4281-B8CF-886439A05AF6}"/>
</file>

<file path=customXml/itemProps2.xml><?xml version="1.0" encoding="utf-8"?>
<ds:datastoreItem xmlns:ds="http://schemas.openxmlformats.org/officeDocument/2006/customXml" ds:itemID="{FF1BEC4E-4ACB-4F75-96F6-751CC50DEFD6}"/>
</file>

<file path=customXml/itemProps3.xml><?xml version="1.0" encoding="utf-8"?>
<ds:datastoreItem xmlns:ds="http://schemas.openxmlformats.org/officeDocument/2006/customXml" ds:itemID="{B9FA3659-DA5E-4969-A43A-281D947031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FACON Cédric</dc:creator>
  <cp:keywords/>
  <dc:description/>
  <cp:lastModifiedBy>MONNIÉ MATHIEU</cp:lastModifiedBy>
  <cp:revision/>
  <dcterms:created xsi:type="dcterms:W3CDTF">2020-02-01T09:20:16Z</dcterms:created>
  <dcterms:modified xsi:type="dcterms:W3CDTF">2026-06-14T15:59:17Z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0x010100BCE1E5A6C88CE04591546C680D797686</vt:lpwstr>
  </property>
  <property fmtid="{D5CDD505-2E9C-101B-9397-08002B2CF9AE}" pid="3" name="MediaServiceImageTags">
    <vt:lpwstr/>
  </property>
</Properties>
</file>